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t and Loss" sheetId="1" r:id="rId5"/>
    <sheet state="visible" name="Balance Sheet" sheetId="2" r:id="rId6"/>
  </sheets>
  <definedNames/>
  <calcPr/>
</workbook>
</file>

<file path=xl/sharedStrings.xml><?xml version="1.0" encoding="utf-8"?>
<sst xmlns="http://schemas.openxmlformats.org/spreadsheetml/2006/main" count="93" uniqueCount="90">
  <si>
    <t>Profit and Loss</t>
  </si>
  <si>
    <t>Empower Psychological Services LLC</t>
  </si>
  <si>
    <t>Distribution account</t>
  </si>
  <si>
    <t>Total</t>
  </si>
  <si>
    <t>Income</t>
  </si>
  <si>
    <t>Interest Income</t>
  </si>
  <si>
    <t>Service Income</t>
  </si>
  <si>
    <t>Total for Income</t>
  </si>
  <si>
    <t>COGS</t>
  </si>
  <si>
    <t>Gross Profit</t>
  </si>
  <si>
    <t>Expenses</t>
  </si>
  <si>
    <t>Automobile Expense</t>
  </si>
  <si>
    <t>Lease</t>
  </si>
  <si>
    <t>Total for Automobile Expense</t>
  </si>
  <si>
    <t>Bank Charges</t>
  </si>
  <si>
    <t>Bank Service Charges</t>
  </si>
  <si>
    <t>Merchant Processing Fee</t>
  </si>
  <si>
    <t>Total for Bank Charges</t>
  </si>
  <si>
    <t>Charitable Contributions</t>
  </si>
  <si>
    <t>Computer and Software Expense</t>
  </si>
  <si>
    <t>Consulting</t>
  </si>
  <si>
    <t>Freelancers</t>
  </si>
  <si>
    <t>Insurance Expense</t>
  </si>
  <si>
    <t>Health Insurance</t>
  </si>
  <si>
    <t>Total for Insurance Expense</t>
  </si>
  <si>
    <t>Interest Expense</t>
  </si>
  <si>
    <t>Office Supplies</t>
  </si>
  <si>
    <t>Payroll Expenses</t>
  </si>
  <si>
    <t>Wages (mgmt)</t>
  </si>
  <si>
    <t>Taxes paid through Loeb wages</t>
  </si>
  <si>
    <t>Total for Payroll Expenses</t>
  </si>
  <si>
    <t>Payroll Processing Fees</t>
  </si>
  <si>
    <t>Rent Expense</t>
  </si>
  <si>
    <t>Rent Expense Israel</t>
  </si>
  <si>
    <t>Virtual Assistants</t>
  </si>
  <si>
    <t>Total for Expenses</t>
  </si>
  <si>
    <t>Net Operating Income</t>
  </si>
  <si>
    <t>Net Other Income</t>
  </si>
  <si>
    <t>Net Income</t>
  </si>
  <si>
    <t>Assets</t>
  </si>
  <si>
    <t>Current Assets</t>
  </si>
  <si>
    <t>Bank Accounts</t>
  </si>
  <si>
    <t>Chase Checking - 1310</t>
  </si>
  <si>
    <t>Chase Checking - 2037</t>
  </si>
  <si>
    <t>Chase Checking - 3297</t>
  </si>
  <si>
    <t>Chase Checking - 5832 (PI money in)</t>
  </si>
  <si>
    <t>Chase Checking - 9515</t>
  </si>
  <si>
    <t>Stripe Bank</t>
  </si>
  <si>
    <t>Total for Bank Accounts</t>
  </si>
  <si>
    <t>Other Current Assets</t>
  </si>
  <si>
    <t>Loan to Tuvia Fekete</t>
  </si>
  <si>
    <t>VA AR</t>
  </si>
  <si>
    <t>PI AR</t>
  </si>
  <si>
    <t>Total for Other Current Assets</t>
  </si>
  <si>
    <t>Total for Current Assets</t>
  </si>
  <si>
    <t>Fixed Assets</t>
  </si>
  <si>
    <t>Accumulated Depreciation</t>
  </si>
  <si>
    <t>Car</t>
  </si>
  <si>
    <t>Furniture and Equipment</t>
  </si>
  <si>
    <t>Total for Fixed Assets</t>
  </si>
  <si>
    <t>Other Assets</t>
  </si>
  <si>
    <t>Security Deposits Asset</t>
  </si>
  <si>
    <t>Total for Other Assets</t>
  </si>
  <si>
    <t>Total for Assets</t>
  </si>
  <si>
    <t>Liabilities and Equity</t>
  </si>
  <si>
    <t>Liabilities</t>
  </si>
  <si>
    <t>Current Liabilities</t>
  </si>
  <si>
    <t>Credit Cards</t>
  </si>
  <si>
    <t>Amex - 21001</t>
  </si>
  <si>
    <t>Amex - 51003 &amp; 52001 (new)</t>
  </si>
  <si>
    <t>Chase CC - 7643</t>
  </si>
  <si>
    <t>Citi CC - 4971</t>
  </si>
  <si>
    <t>Total for Credit Cards</t>
  </si>
  <si>
    <t>Other Current Liabilities</t>
  </si>
  <si>
    <t>Loan - BenBlech</t>
  </si>
  <si>
    <t>Total for Other Current Liabilities</t>
  </si>
  <si>
    <t>Total for Current Liabilities</t>
  </si>
  <si>
    <t>Long-term Liabilities</t>
  </si>
  <si>
    <t>Chase LoC - 9001</t>
  </si>
  <si>
    <t>EIDL Loan</t>
  </si>
  <si>
    <t>Total for Long-term Liabilities</t>
  </si>
  <si>
    <t>Total for Liabilities</t>
  </si>
  <si>
    <t>Equity</t>
  </si>
  <si>
    <t>Opening Balance Equity</t>
  </si>
  <si>
    <t>Owners Draw</t>
  </si>
  <si>
    <t>amex- personal</t>
  </si>
  <si>
    <t>Total for Owners Draw</t>
  </si>
  <si>
    <t>Owners Equity</t>
  </si>
  <si>
    <t>Total for Equity</t>
  </si>
  <si>
    <t>Total for Liabilities and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</si>
</sst>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&quot;$&quot;#,##0.00"/>
  </numFmts>
  <fonts count="9">
    <font>
      <sz val="10.0"/>
      <color rgb="FF000000"/>
      <name val="Arial"/>
      <scheme val="minor"/>
    </font>
    <font>
      <b/>
      <sz val="14.0"/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12.0"/>
      <color rgb="FF000000"/>
      <name val="Calibri"/>
    </font>
    <font>
      <b/>
      <sz val="9.0"/>
      <color rgb="FF000000"/>
      <name val="Arial"/>
    </font>
    <font>
      <sz val="8.0"/>
      <color rgb="FF000000"/>
      <name val="Arial"/>
    </font>
    <font>
      <sz val="8.0"/>
      <color theme="1"/>
      <name val="Arial"/>
    </font>
    <font>
      <b/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4" xfId="0" applyAlignment="1" applyFont="1" applyNumberFormat="1">
      <alignment horizontal="right" readingOrder="0" vertical="bottom"/>
    </xf>
    <xf borderId="0" fillId="0" fontId="7" numFmtId="4" xfId="0" applyAlignment="1" applyFont="1" applyNumberFormat="1">
      <alignment horizontal="right" vertical="bottom"/>
    </xf>
    <xf borderId="0" fillId="0" fontId="8" numFmtId="0" xfId="0" applyAlignment="1" applyFont="1">
      <alignment horizontal="left" readingOrder="0" vertical="bottom"/>
    </xf>
    <xf borderId="2" fillId="0" fontId="8" numFmtId="165" xfId="0" applyAlignment="1" applyBorder="1" applyFont="1" applyNumberFormat="1">
      <alignment horizontal="right" readingOrder="0" vertical="bottom"/>
    </xf>
    <xf borderId="0" fillId="0" fontId="6" numFmtId="0" xfId="0" applyAlignment="1" applyFont="1">
      <alignment vertical="bottom"/>
    </xf>
    <xf borderId="2" fillId="0" fontId="8" numFmtId="0" xfId="0" applyAlignment="1" applyBorder="1" applyFont="1">
      <alignment vertical="bottom"/>
    </xf>
    <xf borderId="0" fillId="0" fontId="8" numFmtId="165" xfId="0" applyAlignment="1" applyFont="1" applyNumberFormat="1">
      <alignment horizontal="right" readingOrder="0" vertical="bottom"/>
    </xf>
    <xf borderId="0" fillId="0" fontId="6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8.38"/>
  </cols>
  <sheetData>
    <row r="1">
      <c r="A1" s="1" t="s">
        <v>0</v>
      </c>
    </row>
    <row r="2">
      <c r="A2" s="2" t="s">
        <v>1</v>
      </c>
    </row>
    <row r="3">
      <c r="A3" s="3">
        <v>45992.0</v>
      </c>
    </row>
    <row r="4">
      <c r="A4" s="4"/>
      <c r="B4" s="4"/>
    </row>
    <row r="5">
      <c r="A5" s="5" t="s">
        <v>2</v>
      </c>
      <c r="B5" s="5" t="s">
        <v>3</v>
      </c>
    </row>
    <row r="6">
      <c r="A6" s="6" t="s">
        <v>4</v>
      </c>
      <c r="B6" s="4"/>
    </row>
    <row r="7">
      <c r="A7" s="6" t="s">
        <v>5</v>
      </c>
      <c r="B7" s="7">
        <v>6.14</v>
      </c>
    </row>
    <row r="8">
      <c r="A8" s="6" t="s">
        <v>6</v>
      </c>
      <c r="B8" s="8">
        <f>818690+115176</f>
        <v>933866</v>
      </c>
      <c r="D8" s="9"/>
    </row>
    <row r="9">
      <c r="A9" s="10" t="s">
        <v>7</v>
      </c>
      <c r="B9" s="11">
        <f>SUM(B7:B8)</f>
        <v>933872.14</v>
      </c>
      <c r="D9" s="9"/>
    </row>
    <row r="10">
      <c r="A10" s="6" t="s">
        <v>8</v>
      </c>
      <c r="B10" s="8">
        <v>480432.0</v>
      </c>
    </row>
    <row r="11">
      <c r="A11" s="10" t="s">
        <v>9</v>
      </c>
      <c r="B11" s="11">
        <f>B9-B10</f>
        <v>453440.14</v>
      </c>
    </row>
    <row r="12">
      <c r="A12" s="6" t="s">
        <v>10</v>
      </c>
      <c r="B12" s="4"/>
    </row>
    <row r="13">
      <c r="A13" s="6" t="s">
        <v>11</v>
      </c>
      <c r="B13" s="12"/>
    </row>
    <row r="14">
      <c r="A14" s="6" t="s">
        <v>12</v>
      </c>
      <c r="B14" s="7">
        <v>784.92</v>
      </c>
    </row>
    <row r="15">
      <c r="A15" s="10" t="s">
        <v>13</v>
      </c>
      <c r="B15" s="11">
        <v>784.92</v>
      </c>
    </row>
    <row r="16">
      <c r="A16" s="6" t="s">
        <v>14</v>
      </c>
      <c r="B16" s="12"/>
    </row>
    <row r="17">
      <c r="A17" s="6" t="s">
        <v>15</v>
      </c>
      <c r="B17" s="7">
        <v>137.49</v>
      </c>
    </row>
    <row r="18">
      <c r="A18" s="6" t="s">
        <v>16</v>
      </c>
      <c r="B18" s="7">
        <v>113.68</v>
      </c>
    </row>
    <row r="19">
      <c r="A19" s="10" t="s">
        <v>17</v>
      </c>
      <c r="B19" s="11">
        <v>251.17</v>
      </c>
    </row>
    <row r="20">
      <c r="A20" s="6" t="s">
        <v>18</v>
      </c>
      <c r="B20" s="7">
        <v>250.0</v>
      </c>
    </row>
    <row r="21">
      <c r="A21" s="6" t="s">
        <v>19</v>
      </c>
      <c r="B21" s="8">
        <v>3640.54</v>
      </c>
    </row>
    <row r="22">
      <c r="A22" s="6" t="s">
        <v>20</v>
      </c>
      <c r="B22" s="7">
        <v>900.0</v>
      </c>
    </row>
    <row r="23">
      <c r="A23" s="6" t="s">
        <v>21</v>
      </c>
      <c r="B23" s="8">
        <v>3444.48</v>
      </c>
    </row>
    <row r="24">
      <c r="A24" s="6" t="s">
        <v>22</v>
      </c>
      <c r="B24" s="12"/>
    </row>
    <row r="25">
      <c r="A25" s="6" t="s">
        <v>23</v>
      </c>
      <c r="B25" s="8">
        <v>15470.14</v>
      </c>
    </row>
    <row r="26">
      <c r="A26" s="10" t="s">
        <v>24</v>
      </c>
      <c r="B26" s="11">
        <v>15470.14</v>
      </c>
    </row>
    <row r="27">
      <c r="A27" s="6" t="s">
        <v>25</v>
      </c>
      <c r="B27" s="7">
        <v>750.0</v>
      </c>
    </row>
    <row r="28">
      <c r="A28" s="6" t="s">
        <v>26</v>
      </c>
      <c r="B28" s="7">
        <v>409.69</v>
      </c>
    </row>
    <row r="29">
      <c r="A29" s="6" t="s">
        <v>27</v>
      </c>
      <c r="B29" s="12"/>
    </row>
    <row r="30">
      <c r="A30" s="6" t="s">
        <v>28</v>
      </c>
      <c r="B30" s="8">
        <v>108914.81</v>
      </c>
    </row>
    <row r="31">
      <c r="A31" s="6" t="s">
        <v>29</v>
      </c>
      <c r="B31" s="8">
        <v>50000.0</v>
      </c>
    </row>
    <row r="32">
      <c r="A32" s="10" t="s">
        <v>30</v>
      </c>
      <c r="B32" s="11">
        <v>158914.81</v>
      </c>
    </row>
    <row r="33">
      <c r="A33" s="6" t="s">
        <v>31</v>
      </c>
      <c r="B33" s="7">
        <v>372.9</v>
      </c>
    </row>
    <row r="34">
      <c r="A34" s="6" t="s">
        <v>32</v>
      </c>
      <c r="B34" s="8">
        <v>20656.97</v>
      </c>
    </row>
    <row r="35">
      <c r="A35" s="6" t="s">
        <v>33</v>
      </c>
      <c r="B35" s="8">
        <v>4633.0</v>
      </c>
    </row>
    <row r="36">
      <c r="A36" s="6" t="s">
        <v>34</v>
      </c>
      <c r="B36" s="8">
        <v>11992.2</v>
      </c>
    </row>
    <row r="37">
      <c r="A37" s="10" t="s">
        <v>35</v>
      </c>
      <c r="B37" s="11">
        <f>SUM(B33:B36)+B32+B26+B23+B22+B21+B20+B19+B15</f>
        <v>221311.13</v>
      </c>
    </row>
    <row r="38">
      <c r="A38" s="10" t="s">
        <v>36</v>
      </c>
      <c r="B38" s="11"/>
    </row>
    <row r="39">
      <c r="A39" s="10" t="s">
        <v>37</v>
      </c>
      <c r="B39" s="13"/>
    </row>
    <row r="40">
      <c r="A40" s="10" t="s">
        <v>38</v>
      </c>
      <c r="B40" s="11">
        <f>B11-B37</f>
        <v>232129.01</v>
      </c>
    </row>
  </sheetData>
  <mergeCells count="3">
    <mergeCell ref="A1:B1"/>
    <mergeCell ref="A2:B2"/>
    <mergeCell ref="A3:B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9.5"/>
  </cols>
  <sheetData>
    <row r="1">
      <c r="A1" s="5" t="s">
        <v>2</v>
      </c>
      <c r="B1" s="5" t="s">
        <v>3</v>
      </c>
    </row>
    <row r="2">
      <c r="A2" s="6" t="s">
        <v>39</v>
      </c>
      <c r="B2" s="4"/>
    </row>
    <row r="3">
      <c r="A3" s="6" t="s">
        <v>40</v>
      </c>
      <c r="B3" s="4"/>
    </row>
    <row r="4">
      <c r="A4" s="6" t="s">
        <v>41</v>
      </c>
      <c r="B4" s="4"/>
    </row>
    <row r="5">
      <c r="A5" s="6"/>
      <c r="B5" s="7"/>
    </row>
    <row r="6">
      <c r="A6" s="6" t="s">
        <v>42</v>
      </c>
      <c r="B6" s="8">
        <v>-8154.99</v>
      </c>
    </row>
    <row r="7">
      <c r="A7" s="6" t="s">
        <v>43</v>
      </c>
      <c r="B7" s="8">
        <v>626025.38</v>
      </c>
    </row>
    <row r="8">
      <c r="A8" s="6" t="s">
        <v>44</v>
      </c>
      <c r="B8" s="7">
        <v>0.0</v>
      </c>
    </row>
    <row r="9">
      <c r="A9" s="6" t="s">
        <v>45</v>
      </c>
      <c r="B9" s="7">
        <v>30.58</v>
      </c>
    </row>
    <row r="10">
      <c r="A10" s="6" t="s">
        <v>46</v>
      </c>
      <c r="B10" s="8">
        <v>41305.2</v>
      </c>
    </row>
    <row r="11">
      <c r="A11" s="6" t="s">
        <v>47</v>
      </c>
      <c r="B11" s="8">
        <v>594077.66</v>
      </c>
    </row>
    <row r="12">
      <c r="A12" s="10" t="s">
        <v>48</v>
      </c>
      <c r="B12" s="11">
        <v>1253283.83</v>
      </c>
    </row>
    <row r="13">
      <c r="A13" s="6" t="s">
        <v>49</v>
      </c>
      <c r="B13" s="4"/>
    </row>
    <row r="14">
      <c r="A14" s="6" t="s">
        <v>50</v>
      </c>
      <c r="B14" s="7">
        <v>0.0</v>
      </c>
    </row>
    <row r="15">
      <c r="A15" s="10" t="s">
        <v>51</v>
      </c>
      <c r="B15" s="14">
        <f>117491-15151</f>
        <v>102340</v>
      </c>
    </row>
    <row r="16">
      <c r="A16" s="10" t="s">
        <v>52</v>
      </c>
      <c r="B16" s="14">
        <v>860534.0</v>
      </c>
    </row>
    <row r="17">
      <c r="A17" s="10" t="s">
        <v>53</v>
      </c>
      <c r="B17" s="11">
        <f>B15+B16</f>
        <v>962874</v>
      </c>
    </row>
    <row r="18">
      <c r="A18" s="10" t="s">
        <v>54</v>
      </c>
      <c r="B18" s="11">
        <f>B12+B17</f>
        <v>2216157.83</v>
      </c>
    </row>
    <row r="19">
      <c r="A19" s="6" t="s">
        <v>55</v>
      </c>
      <c r="B19" s="4"/>
    </row>
    <row r="20">
      <c r="A20" s="6" t="s">
        <v>56</v>
      </c>
      <c r="B20" s="8">
        <v>-89627.0</v>
      </c>
    </row>
    <row r="21">
      <c r="A21" s="6" t="s">
        <v>57</v>
      </c>
      <c r="B21" s="7">
        <v>0.0</v>
      </c>
    </row>
    <row r="22">
      <c r="A22" s="6" t="s">
        <v>58</v>
      </c>
      <c r="B22" s="8">
        <v>91492.16</v>
      </c>
    </row>
    <row r="23">
      <c r="A23" s="10" t="s">
        <v>59</v>
      </c>
      <c r="B23" s="11">
        <v>1865.16</v>
      </c>
    </row>
    <row r="24">
      <c r="A24" s="6" t="s">
        <v>60</v>
      </c>
      <c r="B24" s="4"/>
    </row>
    <row r="25">
      <c r="A25" s="6" t="s">
        <v>61</v>
      </c>
      <c r="B25" s="8">
        <v>25010.57</v>
      </c>
    </row>
    <row r="26">
      <c r="A26" s="10" t="s">
        <v>62</v>
      </c>
      <c r="B26" s="11">
        <v>25010.57</v>
      </c>
    </row>
    <row r="27">
      <c r="A27" s="10" t="s">
        <v>63</v>
      </c>
      <c r="B27" s="11">
        <f>B18+B12+B23+B26</f>
        <v>3496317.39</v>
      </c>
    </row>
    <row r="28">
      <c r="A28" s="6" t="s">
        <v>64</v>
      </c>
      <c r="B28" s="4"/>
    </row>
    <row r="29">
      <c r="A29" s="6" t="s">
        <v>65</v>
      </c>
      <c r="B29" s="4"/>
    </row>
    <row r="30">
      <c r="A30" s="6" t="s">
        <v>66</v>
      </c>
      <c r="B30" s="4"/>
    </row>
    <row r="31">
      <c r="A31" s="6" t="s">
        <v>67</v>
      </c>
      <c r="B31" s="4"/>
    </row>
    <row r="32">
      <c r="A32" s="6" t="s">
        <v>68</v>
      </c>
      <c r="B32" s="7">
        <v>0.0</v>
      </c>
    </row>
    <row r="33">
      <c r="A33" s="6" t="s">
        <v>69</v>
      </c>
      <c r="B33" s="8">
        <v>37756.82</v>
      </c>
    </row>
    <row r="34">
      <c r="A34" s="6" t="s">
        <v>70</v>
      </c>
      <c r="B34" s="7">
        <v>83.88</v>
      </c>
    </row>
    <row r="35">
      <c r="A35" s="6" t="s">
        <v>71</v>
      </c>
      <c r="B35" s="8">
        <v>23731.27</v>
      </c>
    </row>
    <row r="36">
      <c r="A36" s="10" t="s">
        <v>72</v>
      </c>
      <c r="B36" s="11">
        <v>61571.97</v>
      </c>
    </row>
    <row r="37">
      <c r="A37" s="6" t="s">
        <v>73</v>
      </c>
      <c r="B37" s="4"/>
    </row>
    <row r="38">
      <c r="A38" s="6" t="s">
        <v>74</v>
      </c>
      <c r="B38" s="8">
        <v>-100000.0</v>
      </c>
    </row>
    <row r="39">
      <c r="A39" s="10" t="s">
        <v>75</v>
      </c>
      <c r="B39" s="11">
        <f>B38</f>
        <v>-100000</v>
      </c>
    </row>
    <row r="40">
      <c r="A40" s="10" t="s">
        <v>76</v>
      </c>
      <c r="B40" s="11">
        <f>B36+B39</f>
        <v>-38428.03</v>
      </c>
    </row>
    <row r="41">
      <c r="A41" s="6" t="s">
        <v>77</v>
      </c>
      <c r="B41" s="4"/>
    </row>
    <row r="42">
      <c r="A42" s="6" t="s">
        <v>78</v>
      </c>
      <c r="B42" s="8">
        <v>-1813.17</v>
      </c>
    </row>
    <row r="43">
      <c r="A43" s="6" t="s">
        <v>79</v>
      </c>
      <c r="B43" s="8">
        <v>82500.0</v>
      </c>
    </row>
    <row r="44">
      <c r="A44" s="10" t="s">
        <v>80</v>
      </c>
      <c r="B44" s="11">
        <v>80686.83</v>
      </c>
    </row>
    <row r="45">
      <c r="A45" s="10" t="s">
        <v>81</v>
      </c>
      <c r="B45" s="11">
        <f>B40+B44</f>
        <v>42258.8</v>
      </c>
    </row>
    <row r="46">
      <c r="A46" s="6" t="s">
        <v>82</v>
      </c>
      <c r="B46" s="4"/>
    </row>
    <row r="47">
      <c r="A47" s="6" t="s">
        <v>83</v>
      </c>
      <c r="B47" s="7">
        <v>0.0</v>
      </c>
    </row>
    <row r="48">
      <c r="A48" s="6" t="s">
        <v>84</v>
      </c>
      <c r="B48" s="8">
        <v>-211139.83</v>
      </c>
    </row>
    <row r="49">
      <c r="A49" s="6" t="s">
        <v>85</v>
      </c>
      <c r="B49" s="7">
        <v>0.0</v>
      </c>
    </row>
    <row r="50">
      <c r="A50" s="10" t="s">
        <v>86</v>
      </c>
      <c r="B50" s="11">
        <v>-211139.83</v>
      </c>
    </row>
    <row r="51">
      <c r="A51" s="6" t="s">
        <v>87</v>
      </c>
      <c r="B51" s="15">
        <v>3443887.29</v>
      </c>
    </row>
    <row r="52">
      <c r="A52" s="6" t="s">
        <v>38</v>
      </c>
      <c r="B52" s="8">
        <f>'Profit and Loss'!B37</f>
        <v>221311.13</v>
      </c>
    </row>
    <row r="53">
      <c r="A53" s="10" t="s">
        <v>88</v>
      </c>
      <c r="B53" s="11">
        <f>B51+B52+B48</f>
        <v>3454058.59</v>
      </c>
    </row>
    <row r="54">
      <c r="A54" s="10" t="s">
        <v>89</v>
      </c>
      <c r="B54" s="11">
        <f>B53+B45</f>
        <v>3496317.39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B3BB2E549564084FC43B95F401D6F" ma:contentTypeVersion="7" ma:contentTypeDescription="Create a new document." ma:contentTypeScope="" ma:versionID="fbd403a1682ed8031ac7670fdbe22fd1">
  <xsd:schema xmlns:xsd="http://www.w3.org/2001/XMLSchema" xmlns:xs="http://www.w3.org/2001/XMLSchema" xmlns:p="http://schemas.microsoft.com/office/2006/metadata/properties" xmlns:ns1="http://schemas.microsoft.com/sharepoint/v3" xmlns:ns2="15b3150e-d951-47f6-8a76-bc84b4696756" xmlns:ns3="8decec3c-4895-4ccd-a827-84d92c711d61" xmlns:ns4="800c1269-9eb2-46c1-81fe-9746c8453f9a" xmlns:ns5="f3fd9d2e-7bd3-4ec4-9d9f-5e0eb2429ba5" targetNamespace="http://schemas.microsoft.com/office/2006/metadata/properties" ma:root="true" ma:fieldsID="c0e22f9793df22b3f2cddd80bb8508bc" ns1:_="" ns2:_="" ns3:_="" ns4:_="" ns5:_="">
    <xsd:import namespace="http://schemas.microsoft.com/sharepoint/v3"/>
    <xsd:import namespace="15b3150e-d951-47f6-8a76-bc84b4696756"/>
    <xsd:import namespace="8decec3c-4895-4ccd-a827-84d92c711d61"/>
    <xsd:import namespace="800c1269-9eb2-46c1-81fe-9746c8453f9a"/>
    <xsd:import namespace="f3fd9d2e-7bd3-4ec4-9d9f-5e0eb2429b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4:lcf76f155ced4ddcb4097134ff3c332f" minOccurs="0"/>
                <xsd:element ref="ns5:TaxCatchAll" minOccurs="0"/>
                <xsd:element ref="ns1:_ip_UnifiedCompliancePolicyProperties" minOccurs="0"/>
                <xsd:element ref="ns1:_ip_UnifiedCompliancePolicyUIActio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3150e-d951-47f6-8a76-bc84b4696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cec3c-4895-4ccd-a827-84d92c711d6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0c1269-9eb2-46c1-81fe-9746c8453f9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d9dcc81-7629-4abb-8417-853523a652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d9d2e-7bd3-4ec4-9d9f-5e0eb2429ba5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3f9f2498-dd46-41a8-bf09-a0335be7ef8b}" ma:internalName="TaxCatchAll" ma:showField="CatchAllData" ma:web="f3fd9d2e-7bd3-4ec4-9d9f-5e0eb2429b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f3fd9d2e-7bd3-4ec4-9d9f-5e0eb2429ba5" xsi:nil="true"/>
    <_ip_UnifiedCompliancePolicyProperties xmlns="http://schemas.microsoft.com/sharepoint/v3" xsi:nil="true"/>
    <lcf76f155ced4ddcb4097134ff3c332f xmlns="800c1269-9eb2-46c1-81fe-9746c8453f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402FB8-F86A-4565-90AB-4899D6113C8D}"/>
</file>

<file path=customXml/itemProps2.xml><?xml version="1.0" encoding="utf-8"?>
<ds:datastoreItem xmlns:ds="http://schemas.openxmlformats.org/officeDocument/2006/customXml" ds:itemID="{4E64DD88-A025-4F31-A049-151B15AE3E88}"/>
</file>

<file path=customXml/itemProps3.xml><?xml version="1.0" encoding="utf-8"?>
<ds:datastoreItem xmlns:ds="http://schemas.openxmlformats.org/officeDocument/2006/customXml" ds:itemID="{BE1CC601-A1AC-44AC-837A-80B9C00F1B5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0x010100FD8B3BB2E549564084FC43B95F401D6F</vt:lpwstr>
  </property>
</Properties>
</file>