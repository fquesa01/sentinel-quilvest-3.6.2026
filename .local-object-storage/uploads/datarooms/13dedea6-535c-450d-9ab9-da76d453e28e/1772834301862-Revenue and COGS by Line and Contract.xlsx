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quilvestpartners.sharepoint.com/sites/QSCapitalStrategies/General/2. Fund II/!Deals/Empower Mental Health/Diligence/"/>
    </mc:Choice>
  </mc:AlternateContent>
  <xr:revisionPtr revIDLastSave="1" documentId="11_4404AE721BBDFFC30255D2D60D882043B6C2F68D" xr6:coauthVersionLast="47" xr6:coauthVersionMax="47" xr10:uidLastSave="{1748847B-1E15-4C34-BC7F-F20C418FC4CD}"/>
  <bookViews>
    <workbookView xWindow="-120" yWindow="-120" windowWidth="29040" windowHeight="15720" xr2:uid="{00000000-000D-0000-FFFF-FFFF00000000}"/>
  </bookViews>
  <sheets>
    <sheet name="By Product 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" i="1" l="1"/>
  <c r="AA7" i="1"/>
  <c r="AA6" i="1"/>
  <c r="N6" i="1"/>
  <c r="AA5" i="1"/>
  <c r="N5" i="1"/>
  <c r="AA4" i="1"/>
  <c r="N4" i="1"/>
  <c r="AA3" i="1"/>
  <c r="N3" i="1"/>
</calcChain>
</file>

<file path=xl/sharedStrings.xml><?xml version="1.0" encoding="utf-8"?>
<sst xmlns="http://schemas.openxmlformats.org/spreadsheetml/2006/main" count="15" uniqueCount="15">
  <si>
    <t>Product Line</t>
  </si>
  <si>
    <t>Total 2024</t>
  </si>
  <si>
    <t>Total 2025</t>
  </si>
  <si>
    <t>Psych Revenue</t>
  </si>
  <si>
    <t>Pysch COGS</t>
  </si>
  <si>
    <t>Gen Med Revenue</t>
  </si>
  <si>
    <t>Gen Med COGS</t>
  </si>
  <si>
    <t>PI Revenue</t>
  </si>
  <si>
    <t>PI COGS</t>
  </si>
  <si>
    <t>VA by Contract</t>
  </si>
  <si>
    <t>VES</t>
  </si>
  <si>
    <t>QTC</t>
  </si>
  <si>
    <t>Optum</t>
  </si>
  <si>
    <t>Loyal Source</t>
  </si>
  <si>
    <t>*includes Psych and Gen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</si>
</sst>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yyyy"/>
    <numFmt numFmtId="165" formatCode="&quot;$&quot;#,##0"/>
  </numFmts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u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sz val="10"/>
      <color theme="1"/>
      <name val="Tahoma"/>
    </font>
    <font>
      <b/>
      <u/>
      <sz val="10"/>
      <color theme="1"/>
      <name val="Arial"/>
    </font>
    <font>
      <sz val="10"/>
      <color theme="1"/>
      <name val="'CIDFont+F3'"/>
    </font>
    <font>
      <b/>
      <u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1" fillId="0" borderId="0" xfId="0" applyNumberFormat="1" applyFont="1"/>
    <xf numFmtId="165" fontId="4" fillId="0" borderId="0" xfId="0" applyNumberFormat="1" applyFont="1" applyAlignment="1">
      <alignment horizontal="right"/>
    </xf>
    <xf numFmtId="0" fontId="1" fillId="0" borderId="0" xfId="0" applyFont="1"/>
    <xf numFmtId="165" fontId="5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3" fontId="7" fillId="2" borderId="0" xfId="0" applyNumberFormat="1" applyFont="1" applyFill="1"/>
    <xf numFmtId="1" fontId="1" fillId="0" borderId="0" xfId="0" applyNumberFormat="1" applyFont="1"/>
    <xf numFmtId="3" fontId="1" fillId="0" borderId="0" xfId="0" applyNumberFormat="1" applyFont="1"/>
    <xf numFmtId="0" fontId="8" fillId="0" borderId="0" xfId="0" applyFont="1" applyAlignment="1">
      <alignment horizontal="right"/>
    </xf>
    <xf numFmtId="9" fontId="1" fillId="0" borderId="0" xfId="0" applyNumberFormat="1" applyFont="1"/>
    <xf numFmtId="0" fontId="4" fillId="0" borderId="0" xfId="0" applyFont="1" applyAlignment="1">
      <alignment horizontal="right"/>
    </xf>
    <xf numFmtId="10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A40"/>
  <sheetViews>
    <sheetView tabSelected="1"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26.7109375" bestFit="1" customWidth="1"/>
    <col min="2" max="2" width="12.85546875" bestFit="1" customWidth="1"/>
    <col min="3" max="3" width="13.85546875" bestFit="1" customWidth="1"/>
    <col min="4" max="4" width="11.140625" bestFit="1" customWidth="1"/>
    <col min="5" max="5" width="9.85546875" bestFit="1" customWidth="1"/>
    <col min="6" max="6" width="11.7109375" bestFit="1" customWidth="1"/>
    <col min="7" max="7" width="15.7109375" bestFit="1" customWidth="1"/>
    <col min="8" max="8" width="12.7109375" bestFit="1" customWidth="1"/>
    <col min="9" max="9" width="15" bestFit="1" customWidth="1"/>
    <col min="10" max="10" width="15.7109375" bestFit="1" customWidth="1"/>
    <col min="11" max="11" width="12.7109375" bestFit="1" customWidth="1"/>
    <col min="12" max="13" width="15" bestFit="1" customWidth="1"/>
    <col min="14" max="14" width="10.140625" bestFit="1" customWidth="1"/>
    <col min="15" max="15" width="12.85546875" bestFit="1" customWidth="1"/>
    <col min="16" max="16" width="13.85546875" bestFit="1" customWidth="1"/>
    <col min="17" max="17" width="11.140625" bestFit="1" customWidth="1"/>
    <col min="18" max="18" width="9.85546875" bestFit="1" customWidth="1"/>
    <col min="19" max="19" width="9.28515625" bestFit="1" customWidth="1"/>
    <col min="20" max="20" width="10" bestFit="1" customWidth="1"/>
    <col min="21" max="21" width="9.28515625" bestFit="1" customWidth="1"/>
    <col min="22" max="22" width="11.7109375" bestFit="1" customWidth="1"/>
    <col min="23" max="23" width="15.7109375" bestFit="1" customWidth="1"/>
    <col min="24" max="24" width="12.7109375" bestFit="1" customWidth="1"/>
    <col min="25" max="26" width="15" bestFit="1" customWidth="1"/>
    <col min="27" max="27" width="10.140625" bestFit="1" customWidth="1"/>
  </cols>
  <sheetData>
    <row r="2" spans="1:27">
      <c r="A2" s="1" t="s">
        <v>0</v>
      </c>
      <c r="B2" s="2">
        <v>45292</v>
      </c>
      <c r="C2" s="2">
        <v>45323</v>
      </c>
      <c r="D2" s="2">
        <v>45352</v>
      </c>
      <c r="E2" s="2">
        <v>45383</v>
      </c>
      <c r="F2" s="2">
        <v>45413</v>
      </c>
      <c r="G2" s="2">
        <v>45444</v>
      </c>
      <c r="H2" s="2">
        <v>45474</v>
      </c>
      <c r="I2" s="2">
        <v>45505</v>
      </c>
      <c r="J2" s="2">
        <v>45536</v>
      </c>
      <c r="K2" s="2">
        <v>45566</v>
      </c>
      <c r="L2" s="2">
        <v>45597</v>
      </c>
      <c r="M2" s="2">
        <v>45627</v>
      </c>
      <c r="N2" s="3" t="s">
        <v>1</v>
      </c>
      <c r="O2" s="2">
        <v>45658</v>
      </c>
      <c r="P2" s="2">
        <v>45689</v>
      </c>
      <c r="Q2" s="2">
        <v>45717</v>
      </c>
      <c r="R2" s="2">
        <v>45748</v>
      </c>
      <c r="S2" s="2">
        <v>45778</v>
      </c>
      <c r="T2" s="2">
        <v>45809</v>
      </c>
      <c r="U2" s="2">
        <v>45839</v>
      </c>
      <c r="V2" s="2">
        <v>45870</v>
      </c>
      <c r="W2" s="2">
        <v>45901</v>
      </c>
      <c r="X2" s="2">
        <v>45931</v>
      </c>
      <c r="Y2" s="2">
        <v>45962</v>
      </c>
      <c r="Z2" s="2">
        <v>45992</v>
      </c>
      <c r="AA2" s="2" t="s">
        <v>2</v>
      </c>
    </row>
    <row r="3" spans="1:27">
      <c r="A3" s="1" t="s">
        <v>3</v>
      </c>
      <c r="B3" s="4">
        <v>480735</v>
      </c>
      <c r="C3" s="4">
        <v>433832</v>
      </c>
      <c r="D3" s="4">
        <v>545585</v>
      </c>
      <c r="E3" s="4">
        <v>530314.5</v>
      </c>
      <c r="F3" s="4">
        <v>461621</v>
      </c>
      <c r="G3" s="4">
        <v>549308.5</v>
      </c>
      <c r="H3" s="4">
        <v>581366.5</v>
      </c>
      <c r="I3" s="4">
        <v>651161.5</v>
      </c>
      <c r="J3" s="4">
        <v>590506</v>
      </c>
      <c r="K3" s="4">
        <v>605132.5</v>
      </c>
      <c r="L3" s="4">
        <v>581010.5</v>
      </c>
      <c r="M3" s="4">
        <v>588229.5</v>
      </c>
      <c r="N3" s="4">
        <f t="shared" ref="N3:N6" si="0">SUM(B3:M3)</f>
        <v>6598802.5</v>
      </c>
      <c r="O3" s="4">
        <v>676074</v>
      </c>
      <c r="P3" s="4">
        <v>620200</v>
      </c>
      <c r="Q3" s="4">
        <v>659932</v>
      </c>
      <c r="R3" s="4">
        <v>638882</v>
      </c>
      <c r="S3" s="4">
        <v>696380</v>
      </c>
      <c r="T3" s="4">
        <v>662654</v>
      </c>
      <c r="U3" s="4">
        <v>826628</v>
      </c>
      <c r="V3" s="4">
        <v>764816</v>
      </c>
      <c r="W3" s="4">
        <v>874082</v>
      </c>
      <c r="X3" s="4">
        <v>729812.64</v>
      </c>
      <c r="Y3" s="4">
        <v>639176</v>
      </c>
      <c r="Z3" s="4">
        <v>725470</v>
      </c>
      <c r="AA3" s="4">
        <f t="shared" ref="AA3:AA8" si="1">SUM(O3:Z3)</f>
        <v>8514106.6400000006</v>
      </c>
    </row>
    <row r="4" spans="1:27">
      <c r="A4" s="1" t="s">
        <v>4</v>
      </c>
      <c r="B4" s="4">
        <v>287910</v>
      </c>
      <c r="C4" s="4">
        <v>260540</v>
      </c>
      <c r="D4" s="4">
        <v>314790</v>
      </c>
      <c r="E4" s="4">
        <v>309470</v>
      </c>
      <c r="F4" s="4">
        <v>270900</v>
      </c>
      <c r="G4" s="4">
        <v>323050</v>
      </c>
      <c r="H4" s="4">
        <v>336700</v>
      </c>
      <c r="I4" s="4">
        <v>380520</v>
      </c>
      <c r="J4" s="4">
        <v>340942</v>
      </c>
      <c r="K4" s="4">
        <v>350028</v>
      </c>
      <c r="L4" s="4">
        <v>342510</v>
      </c>
      <c r="M4" s="4">
        <v>354060</v>
      </c>
      <c r="N4" s="4">
        <f t="shared" si="0"/>
        <v>3871420</v>
      </c>
      <c r="O4" s="4">
        <v>403721</v>
      </c>
      <c r="P4" s="4">
        <v>367616</v>
      </c>
      <c r="Q4" s="4">
        <v>389076</v>
      </c>
      <c r="R4" s="4">
        <v>379361</v>
      </c>
      <c r="S4" s="4">
        <v>414016</v>
      </c>
      <c r="T4" s="4">
        <v>395601</v>
      </c>
      <c r="U4" s="4">
        <v>437216</v>
      </c>
      <c r="V4" s="4">
        <v>406476</v>
      </c>
      <c r="W4" s="4">
        <v>462591</v>
      </c>
      <c r="X4" s="4">
        <v>431416</v>
      </c>
      <c r="Y4" s="4">
        <v>377476</v>
      </c>
      <c r="Z4" s="4">
        <v>413395</v>
      </c>
      <c r="AA4" s="4">
        <f t="shared" si="1"/>
        <v>4877961</v>
      </c>
    </row>
    <row r="5" spans="1:27">
      <c r="A5" s="1" t="s">
        <v>5</v>
      </c>
      <c r="B5" s="4">
        <v>0</v>
      </c>
      <c r="C5" s="4">
        <v>0</v>
      </c>
      <c r="D5" s="4">
        <v>0</v>
      </c>
      <c r="E5" s="4">
        <v>0</v>
      </c>
      <c r="F5" s="4">
        <v>3540</v>
      </c>
      <c r="G5" s="4">
        <v>9204</v>
      </c>
      <c r="H5" s="4">
        <v>21240</v>
      </c>
      <c r="I5" s="4">
        <v>23128</v>
      </c>
      <c r="J5" s="4">
        <v>27848</v>
      </c>
      <c r="K5" s="4">
        <v>25724</v>
      </c>
      <c r="L5" s="4">
        <v>32568</v>
      </c>
      <c r="M5" s="4">
        <v>49442</v>
      </c>
      <c r="N5" s="4">
        <f t="shared" si="0"/>
        <v>192694</v>
      </c>
      <c r="O5" s="4">
        <v>66698</v>
      </c>
      <c r="P5" s="4">
        <v>53954</v>
      </c>
      <c r="Q5" s="4">
        <v>58674</v>
      </c>
      <c r="R5" s="4">
        <v>65754</v>
      </c>
      <c r="S5" s="4">
        <v>61742</v>
      </c>
      <c r="T5" s="4">
        <v>65990</v>
      </c>
      <c r="U5" s="4">
        <v>61270</v>
      </c>
      <c r="V5" s="4">
        <v>82510</v>
      </c>
      <c r="W5" s="4">
        <v>85578</v>
      </c>
      <c r="X5" s="4">
        <v>97142</v>
      </c>
      <c r="Y5" s="4">
        <v>107998</v>
      </c>
      <c r="Z5" s="4">
        <v>93220</v>
      </c>
      <c r="AA5" s="4">
        <f t="shared" si="1"/>
        <v>900530</v>
      </c>
    </row>
    <row r="6" spans="1:27">
      <c r="A6" s="1" t="s">
        <v>6</v>
      </c>
      <c r="B6" s="4">
        <v>0</v>
      </c>
      <c r="C6" s="4">
        <v>0</v>
      </c>
      <c r="D6" s="4">
        <v>0</v>
      </c>
      <c r="E6" s="4">
        <v>0</v>
      </c>
      <c r="F6" s="4">
        <v>1841</v>
      </c>
      <c r="G6" s="4">
        <v>4785</v>
      </c>
      <c r="H6" s="4">
        <v>11043</v>
      </c>
      <c r="I6" s="4">
        <v>12025</v>
      </c>
      <c r="J6" s="4">
        <v>14479</v>
      </c>
      <c r="K6" s="4">
        <v>13374</v>
      </c>
      <c r="L6" s="4">
        <v>16933</v>
      </c>
      <c r="M6" s="4">
        <v>25706</v>
      </c>
      <c r="N6" s="4">
        <f t="shared" si="0"/>
        <v>100186</v>
      </c>
      <c r="O6" s="4">
        <v>36287</v>
      </c>
      <c r="P6" s="4">
        <v>29661</v>
      </c>
      <c r="Q6" s="4">
        <v>32115</v>
      </c>
      <c r="R6" s="4">
        <v>35796</v>
      </c>
      <c r="S6" s="4">
        <v>33710</v>
      </c>
      <c r="T6" s="4">
        <v>35919</v>
      </c>
      <c r="U6" s="4">
        <v>33465</v>
      </c>
      <c r="V6" s="4">
        <v>44508</v>
      </c>
      <c r="W6" s="4">
        <v>46103</v>
      </c>
      <c r="X6" s="4">
        <v>52115</v>
      </c>
      <c r="Y6" s="4">
        <v>57759</v>
      </c>
      <c r="Z6" s="4">
        <v>48467</v>
      </c>
      <c r="AA6" s="4">
        <f t="shared" si="1"/>
        <v>485905</v>
      </c>
    </row>
    <row r="7" spans="1:27">
      <c r="A7" s="1" t="s">
        <v>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>
        <v>25220</v>
      </c>
      <c r="Q7" s="4">
        <v>41560</v>
      </c>
      <c r="R7" s="4">
        <v>59370</v>
      </c>
      <c r="S7" s="4">
        <v>54240</v>
      </c>
      <c r="T7" s="4">
        <v>47480</v>
      </c>
      <c r="U7" s="4">
        <v>78020</v>
      </c>
      <c r="V7" s="4">
        <v>116293</v>
      </c>
      <c r="W7" s="4">
        <v>111844</v>
      </c>
      <c r="X7" s="4">
        <v>105113</v>
      </c>
      <c r="Y7" s="4">
        <v>106223</v>
      </c>
      <c r="Z7" s="4">
        <v>115176</v>
      </c>
      <c r="AA7" s="4">
        <f t="shared" si="1"/>
        <v>860539</v>
      </c>
    </row>
    <row r="8" spans="1:27">
      <c r="A8" s="1" t="s">
        <v>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>
        <v>14300</v>
      </c>
      <c r="Q8" s="4">
        <v>12350</v>
      </c>
      <c r="R8" s="4">
        <v>8375</v>
      </c>
      <c r="S8" s="4">
        <v>8385</v>
      </c>
      <c r="T8" s="4">
        <v>6195</v>
      </c>
      <c r="U8" s="4">
        <v>14285</v>
      </c>
      <c r="V8" s="4">
        <v>17265</v>
      </c>
      <c r="W8" s="4">
        <v>16655</v>
      </c>
      <c r="X8" s="4">
        <v>18065</v>
      </c>
      <c r="Y8" s="4">
        <v>17950</v>
      </c>
      <c r="Z8" s="4">
        <v>18570</v>
      </c>
      <c r="AA8" s="4">
        <f t="shared" si="1"/>
        <v>152395</v>
      </c>
    </row>
    <row r="9" spans="1:27">
      <c r="B9" s="5"/>
    </row>
    <row r="10" spans="1:27">
      <c r="B10" s="5"/>
    </row>
    <row r="11" spans="1:27">
      <c r="A11" s="6" t="s">
        <v>9</v>
      </c>
      <c r="B11" s="2">
        <v>45748</v>
      </c>
      <c r="C11" s="2">
        <v>45778</v>
      </c>
      <c r="D11" s="2">
        <v>45809</v>
      </c>
      <c r="E11" s="2">
        <v>45839</v>
      </c>
      <c r="F11" s="2">
        <v>45870</v>
      </c>
      <c r="G11" s="2">
        <v>45901</v>
      </c>
      <c r="H11" s="2">
        <v>45931</v>
      </c>
      <c r="I11" s="2">
        <v>45962</v>
      </c>
      <c r="J11" s="2">
        <v>45992</v>
      </c>
    </row>
    <row r="12" spans="1:27">
      <c r="A12" s="6" t="s">
        <v>10</v>
      </c>
      <c r="B12" s="5">
        <v>598557.6</v>
      </c>
      <c r="C12" s="5">
        <v>632643.4</v>
      </c>
      <c r="D12" s="5">
        <v>615836.19999999995</v>
      </c>
      <c r="E12" s="5">
        <v>730736</v>
      </c>
      <c r="F12" s="5">
        <v>710980.2</v>
      </c>
      <c r="G12" s="5">
        <v>762935.94988950517</v>
      </c>
      <c r="H12" s="5">
        <v>580951.94484748156</v>
      </c>
      <c r="I12" s="5">
        <v>491330.92425808235</v>
      </c>
      <c r="J12" s="5">
        <v>534865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7">
      <c r="A13" s="6" t="s">
        <v>11</v>
      </c>
      <c r="B13" s="5">
        <v>70670.240000000005</v>
      </c>
      <c r="C13" s="5">
        <v>76674.36</v>
      </c>
      <c r="D13" s="5">
        <v>79564.479999999996</v>
      </c>
      <c r="E13" s="5">
        <v>107480.6</v>
      </c>
      <c r="F13" s="5">
        <v>80277.399999999994</v>
      </c>
      <c r="G13" s="5">
        <v>87779.346982979405</v>
      </c>
      <c r="H13" s="5">
        <v>89849.891326034718</v>
      </c>
      <c r="I13" s="5">
        <v>74621.106280043925</v>
      </c>
      <c r="J13" s="5">
        <v>76459</v>
      </c>
      <c r="N13" s="7"/>
      <c r="O13" s="7"/>
    </row>
    <row r="14" spans="1:27">
      <c r="A14" s="6" t="s">
        <v>12</v>
      </c>
      <c r="B14" s="5">
        <v>35408.160000000003</v>
      </c>
      <c r="C14" s="5">
        <v>48804.24</v>
      </c>
      <c r="D14" s="5">
        <v>33243.32</v>
      </c>
      <c r="E14" s="5">
        <v>49681.4</v>
      </c>
      <c r="F14" s="5">
        <v>45657.78</v>
      </c>
      <c r="G14" s="5">
        <v>48909.64894637918</v>
      </c>
      <c r="H14" s="5">
        <v>43710.459542857141</v>
      </c>
      <c r="I14" s="5">
        <v>39138.025197582647</v>
      </c>
      <c r="J14" s="5">
        <v>44042</v>
      </c>
      <c r="N14" s="7"/>
      <c r="O14" s="7"/>
    </row>
    <row r="15" spans="1:27">
      <c r="A15" s="6" t="s">
        <v>13</v>
      </c>
      <c r="B15" s="5">
        <v>0</v>
      </c>
      <c r="C15" s="5">
        <v>0</v>
      </c>
      <c r="D15" s="5">
        <v>0</v>
      </c>
      <c r="E15" s="5">
        <v>0</v>
      </c>
      <c r="F15" s="5">
        <v>10410.620000000001</v>
      </c>
      <c r="G15" s="5">
        <v>60035.054181136227</v>
      </c>
      <c r="H15" s="5">
        <v>112442.34428362666</v>
      </c>
      <c r="I15" s="5">
        <v>142083.94426429106</v>
      </c>
      <c r="J15" s="5">
        <v>163323</v>
      </c>
      <c r="N15" s="7"/>
      <c r="O15" s="7"/>
    </row>
    <row r="16" spans="1:27">
      <c r="B16" s="5"/>
      <c r="C16" s="8"/>
      <c r="D16" s="4"/>
      <c r="F16" s="5"/>
      <c r="G16" s="5"/>
      <c r="H16" s="5"/>
      <c r="I16" s="5"/>
      <c r="J16" s="5"/>
      <c r="N16" s="7"/>
      <c r="O16" s="7"/>
    </row>
    <row r="17" spans="1:27">
      <c r="A17" s="6" t="s">
        <v>14</v>
      </c>
      <c r="B17" s="5"/>
      <c r="C17" s="8"/>
      <c r="D17" s="4"/>
      <c r="F17" s="5"/>
      <c r="G17" s="5"/>
      <c r="H17" s="5"/>
      <c r="I17" s="5"/>
      <c r="J17" s="5"/>
      <c r="N17" s="7"/>
      <c r="O17" s="7"/>
      <c r="T17" s="4"/>
      <c r="Y17" s="9"/>
      <c r="AA17" s="10"/>
    </row>
    <row r="18" spans="1:27">
      <c r="B18" s="5"/>
      <c r="C18" s="5"/>
      <c r="D18" s="5"/>
      <c r="E18" s="5"/>
      <c r="F18" s="5"/>
      <c r="G18" s="5"/>
      <c r="H18" s="5"/>
      <c r="I18" s="5"/>
      <c r="J18" s="5"/>
      <c r="N18" s="7"/>
      <c r="O18" s="7"/>
      <c r="T18" s="4"/>
      <c r="Y18" s="11"/>
      <c r="AA18" s="10"/>
    </row>
    <row r="19" spans="1:27">
      <c r="B19" s="5"/>
      <c r="C19" s="12"/>
      <c r="E19" s="13"/>
      <c r="G19" s="14"/>
      <c r="N19" s="7"/>
      <c r="O19" s="7"/>
      <c r="T19" s="4"/>
    </row>
    <row r="20" spans="1:27">
      <c r="B20" s="5"/>
      <c r="C20" s="5"/>
      <c r="D20" s="5"/>
      <c r="E20" s="5"/>
      <c r="F20" s="5"/>
      <c r="G20" s="15"/>
      <c r="H20" s="15"/>
      <c r="I20" s="15"/>
      <c r="J20" s="5"/>
      <c r="N20" s="7"/>
      <c r="O20" s="7"/>
      <c r="T20" s="4"/>
    </row>
    <row r="21" spans="1:27">
      <c r="B21" s="5"/>
      <c r="C21" s="5"/>
      <c r="D21" s="5"/>
      <c r="E21" s="5"/>
      <c r="F21" s="5"/>
      <c r="G21" s="15"/>
      <c r="H21" s="15"/>
      <c r="I21" s="15"/>
      <c r="J21" s="5"/>
      <c r="K21" s="5"/>
      <c r="L21" s="5"/>
      <c r="M21" s="5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10"/>
    </row>
    <row r="22" spans="1:27">
      <c r="B22" s="5"/>
      <c r="C22" s="5"/>
      <c r="D22" s="5"/>
      <c r="E22" s="5"/>
      <c r="F22" s="5"/>
      <c r="G22" s="15"/>
      <c r="H22" s="15"/>
      <c r="I22" s="15"/>
      <c r="J22" s="5"/>
      <c r="N22" s="7"/>
      <c r="O22" s="7"/>
      <c r="T22" s="4"/>
      <c r="AA22" s="10"/>
    </row>
    <row r="23" spans="1:27">
      <c r="B23" s="5"/>
      <c r="C23" s="5"/>
      <c r="D23" s="5"/>
      <c r="E23" s="5"/>
      <c r="F23" s="5"/>
      <c r="G23" s="15"/>
      <c r="H23" s="15"/>
      <c r="I23" s="15"/>
      <c r="J23" s="5"/>
      <c r="T23" s="4"/>
      <c r="AA23" s="10"/>
    </row>
    <row r="24" spans="1:27">
      <c r="B24" s="5"/>
      <c r="C24" s="8"/>
      <c r="E24" s="4"/>
      <c r="T24" s="4"/>
      <c r="AA24" s="10"/>
    </row>
    <row r="25" spans="1:27">
      <c r="B25" s="5"/>
      <c r="C25" s="8"/>
      <c r="D25" s="4"/>
      <c r="T25" s="4"/>
      <c r="AA25" s="10"/>
    </row>
    <row r="26" spans="1:27">
      <c r="B26" s="5"/>
      <c r="C26" s="8"/>
      <c r="D26" s="4"/>
      <c r="T26" s="4"/>
    </row>
    <row r="27" spans="1:27">
      <c r="B27" s="5"/>
      <c r="C27" s="8"/>
      <c r="D27" s="4"/>
      <c r="F27" s="5"/>
      <c r="T27" s="4"/>
    </row>
    <row r="28" spans="1:27">
      <c r="B28" s="5"/>
      <c r="C28" s="8"/>
      <c r="D28" s="4"/>
      <c r="F28" s="5"/>
      <c r="T28" s="4"/>
    </row>
    <row r="29" spans="1:27">
      <c r="C29" s="8"/>
      <c r="D29" s="4"/>
      <c r="F29" s="5"/>
      <c r="T29" s="4"/>
    </row>
    <row r="30" spans="1:27">
      <c r="C30" s="8"/>
      <c r="D30" s="4"/>
      <c r="F30" s="5"/>
      <c r="T30" s="4"/>
    </row>
    <row r="31" spans="1:27">
      <c r="C31" s="8"/>
      <c r="D31" s="4"/>
      <c r="F31" s="5"/>
      <c r="T31" s="4"/>
    </row>
    <row r="32" spans="1:27">
      <c r="C32" s="8"/>
      <c r="D32" s="4"/>
      <c r="F32" s="5"/>
      <c r="T32" s="4"/>
    </row>
    <row r="33" spans="3:20">
      <c r="C33" s="8"/>
      <c r="D33" s="4"/>
      <c r="F33" s="5"/>
      <c r="T33" s="4"/>
    </row>
    <row r="34" spans="3:20">
      <c r="C34" s="8"/>
      <c r="D34" s="4"/>
      <c r="F34" s="5"/>
      <c r="T34" s="4"/>
    </row>
    <row r="35" spans="3:20">
      <c r="C35" s="8"/>
      <c r="D35" s="4"/>
      <c r="F35" s="5"/>
      <c r="T35" s="4"/>
    </row>
    <row r="36" spans="3:20">
      <c r="C36" s="16"/>
      <c r="D36" s="4"/>
      <c r="T36" s="4"/>
    </row>
    <row r="37" spans="3:20">
      <c r="C37" s="5"/>
      <c r="D37" s="4"/>
      <c r="T37" s="4"/>
    </row>
    <row r="38" spans="3:20">
      <c r="C38" s="5"/>
      <c r="T38" s="4"/>
    </row>
    <row r="39" spans="3:20">
      <c r="T39" s="4"/>
    </row>
    <row r="40" spans="3:20">
      <c r="T40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f3fd9d2e-7bd3-4ec4-9d9f-5e0eb2429ba5" xsi:nil="true"/>
    <_ip_UnifiedCompliancePolicyProperties xmlns="http://schemas.microsoft.com/sharepoint/v3" xsi:nil="true"/>
    <lcf76f155ced4ddcb4097134ff3c332f xmlns="800c1269-9eb2-46c1-81fe-9746c8453f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B3BB2E549564084FC43B95F401D6F" ma:contentTypeVersion="7" ma:contentTypeDescription="Create a new document." ma:contentTypeScope="" ma:versionID="fbd403a1682ed8031ac7670fdbe22fd1">
  <xsd:schema xmlns:xsd="http://www.w3.org/2001/XMLSchema" xmlns:xs="http://www.w3.org/2001/XMLSchema" xmlns:p="http://schemas.microsoft.com/office/2006/metadata/properties" xmlns:ns1="http://schemas.microsoft.com/sharepoint/v3" xmlns:ns2="15b3150e-d951-47f6-8a76-bc84b4696756" xmlns:ns3="8decec3c-4895-4ccd-a827-84d92c711d61" xmlns:ns4="800c1269-9eb2-46c1-81fe-9746c8453f9a" xmlns:ns5="f3fd9d2e-7bd3-4ec4-9d9f-5e0eb2429ba5" targetNamespace="http://schemas.microsoft.com/office/2006/metadata/properties" ma:root="true" ma:fieldsID="c0e22f9793df22b3f2cddd80bb8508bc" ns1:_="" ns2:_="" ns3:_="" ns4:_="" ns5:_="">
    <xsd:import namespace="http://schemas.microsoft.com/sharepoint/v3"/>
    <xsd:import namespace="15b3150e-d951-47f6-8a76-bc84b4696756"/>
    <xsd:import namespace="8decec3c-4895-4ccd-a827-84d92c711d61"/>
    <xsd:import namespace="800c1269-9eb2-46c1-81fe-9746c8453f9a"/>
    <xsd:import namespace="f3fd9d2e-7bd3-4ec4-9d9f-5e0eb2429b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4:lcf76f155ced4ddcb4097134ff3c332f" minOccurs="0"/>
                <xsd:element ref="ns5:TaxCatchAll" minOccurs="0"/>
                <xsd:element ref="ns1:_ip_UnifiedCompliancePolicyProperties" minOccurs="0"/>
                <xsd:element ref="ns1:_ip_UnifiedCompliancePolicyUIActio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3150e-d951-47f6-8a76-bc84b4696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cec3c-4895-4ccd-a827-84d92c711d6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0c1269-9eb2-46c1-81fe-9746c8453f9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d9dcc81-7629-4abb-8417-853523a652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d9d2e-7bd3-4ec4-9d9f-5e0eb2429ba5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3f9f2498-dd46-41a8-bf09-a0335be7ef8b}" ma:internalName="TaxCatchAll" ma:showField="CatchAllData" ma:web="f3fd9d2e-7bd3-4ec4-9d9f-5e0eb2429b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D565EC-F156-4171-A55F-9908D5C0DFE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3fd9d2e-7bd3-4ec4-9d9f-5e0eb2429ba5"/>
    <ds:schemaRef ds:uri="800c1269-9eb2-46c1-81fe-9746c8453f9a"/>
  </ds:schemaRefs>
</ds:datastoreItem>
</file>

<file path=customXml/itemProps2.xml><?xml version="1.0" encoding="utf-8"?>
<ds:datastoreItem xmlns:ds="http://schemas.openxmlformats.org/officeDocument/2006/customXml" ds:itemID="{8115CF49-0077-45D8-BA2D-2AB402F1AA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20D5BF-65E7-46BD-B670-0418FC79BA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5b3150e-d951-47f6-8a76-bc84b4696756"/>
    <ds:schemaRef ds:uri="8decec3c-4895-4ccd-a827-84d92c711d61"/>
    <ds:schemaRef ds:uri="800c1269-9eb2-46c1-81fe-9746c8453f9a"/>
    <ds:schemaRef ds:uri="f3fd9d2e-7bd3-4ec4-9d9f-5e0eb2429b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Product 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Knapp</cp:lastModifiedBy>
  <dcterms:modified xsi:type="dcterms:W3CDTF">2026-01-26T17:33:00Z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0x010100FD8B3BB2E549564084FC43B95F401D6F</vt:lpwstr>
  </property>
  <property fmtid="{D5CDD505-2E9C-101B-9397-08002B2CF9AE}" pid="3" name="MediaServiceImageTags">
    <vt:lpwstr/>
  </property>
</Properties>
</file>